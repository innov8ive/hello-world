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njay663573\Downloads\"/>
    </mc:Choice>
  </mc:AlternateContent>
  <xr:revisionPtr revIDLastSave="0" documentId="13_ncr:9_{713E9E04-51BE-4277-869A-5EA12DCA6E6E}" xr6:coauthVersionLast="47" xr6:coauthVersionMax="47" xr10:uidLastSave="{00000000-0000-0000-0000-000000000000}"/>
  <bookViews>
    <workbookView xWindow="-120" yWindow="-120" windowWidth="29040" windowHeight="15720" xr2:uid="{756CDCB0-3145-4EE2-9E80-17B188BDB91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1" l="1"/>
  <c r="K4" i="1"/>
  <c r="K5" i="1"/>
  <c r="K7" i="1"/>
  <c r="K8" i="1"/>
  <c r="K2" i="1"/>
  <c r="J3" i="1"/>
  <c r="J4" i="1"/>
  <c r="J5" i="1"/>
  <c r="J7" i="1"/>
  <c r="J8" i="1"/>
  <c r="J2" i="1"/>
  <c r="I3" i="1"/>
  <c r="I4" i="1"/>
  <c r="I5" i="1"/>
  <c r="I7" i="1"/>
  <c r="I8" i="1"/>
  <c r="I2" i="1"/>
  <c r="H3" i="1"/>
  <c r="H4" i="1"/>
  <c r="H5" i="1"/>
  <c r="H7" i="1"/>
  <c r="H8" i="1"/>
  <c r="H2" i="1"/>
  <c r="G3" i="1"/>
  <c r="G4" i="1"/>
  <c r="G5" i="1"/>
  <c r="G6" i="1"/>
  <c r="H6" i="1" s="1"/>
  <c r="G7" i="1"/>
  <c r="G8" i="1"/>
  <c r="G9" i="1"/>
  <c r="H9" i="1" s="1"/>
  <c r="G2" i="1"/>
  <c r="J9" i="1" l="1"/>
  <c r="I9" i="1"/>
  <c r="K9" i="1" s="1"/>
  <c r="I6" i="1"/>
  <c r="K6" i="1" s="1"/>
  <c r="J6" i="1"/>
</calcChain>
</file>

<file path=xl/sharedStrings.xml><?xml version="1.0" encoding="utf-8"?>
<sst xmlns="http://schemas.openxmlformats.org/spreadsheetml/2006/main" count="11" uniqueCount="11">
  <si>
    <t>Current Value</t>
  </si>
  <si>
    <t>MA(9)</t>
  </si>
  <si>
    <t>EMA(9)</t>
  </si>
  <si>
    <t>EMA(21)</t>
  </si>
  <si>
    <t>RSI(14)</t>
  </si>
  <si>
    <t>VWAP</t>
  </si>
  <si>
    <t>Target</t>
  </si>
  <si>
    <t>Entry Point</t>
  </si>
  <si>
    <t>Stop loss</t>
  </si>
  <si>
    <t>Trend Probability</t>
  </si>
  <si>
    <t>Probability(%)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</si>
</sst>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vertical="top"/>
    </xf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F4C025-0AB1-4A6E-9103-014147E6AF37}">
  <dimension ref="A1:Q11"/>
  <sheetViews>
    <sheetView tabSelected="1" workbookViewId="0">
      <selection activeCell="G8" sqref="G8"/>
    </sheetView>
  </sheetViews>
  <sheetFormatPr defaultRowHeight="15" x14ac:dyDescent="0.25"/>
  <cols>
    <col min="1" max="1" width="13.5703125" bestFit="1" customWidth="1"/>
    <col min="5" max="5" width="12.85546875" bestFit="1" customWidth="1"/>
    <col min="7" max="7" width="15.85546875" style="7" customWidth="1"/>
    <col min="8" max="8" width="16.42578125" bestFit="1" customWidth="1"/>
    <col min="9" max="9" width="16.42578125" style="7" customWidth="1"/>
    <col min="10" max="10" width="13.85546875" style="7" bestFit="1" customWidth="1"/>
    <col min="11" max="11" width="10.85546875" bestFit="1" customWidth="1"/>
    <col min="12" max="12" width="14.140625" customWidth="1"/>
    <col min="13" max="13" width="11.140625" customWidth="1"/>
    <col min="14" max="14" width="16" bestFit="1" customWidth="1"/>
    <col min="15" max="15" width="16" customWidth="1"/>
    <col min="16" max="16" width="12.85546875" customWidth="1"/>
    <col min="17" max="17" width="12.140625" bestFit="1" customWidth="1"/>
  </cols>
  <sheetData>
    <row r="1" spans="1:17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5</v>
      </c>
      <c r="F1" s="3" t="s">
        <v>4</v>
      </c>
      <c r="G1" s="8" t="s">
        <v>10</v>
      </c>
      <c r="H1" s="3" t="s">
        <v>9</v>
      </c>
      <c r="I1" s="8" t="s">
        <v>7</v>
      </c>
      <c r="J1" s="8" t="s">
        <v>6</v>
      </c>
      <c r="K1" s="8" t="s">
        <v>8</v>
      </c>
      <c r="L1" s="3"/>
      <c r="M1" s="3"/>
    </row>
    <row r="2" spans="1:17" x14ac:dyDescent="0.25">
      <c r="A2" s="4">
        <v>100</v>
      </c>
      <c r="B2" s="5">
        <v>105</v>
      </c>
      <c r="C2">
        <v>102</v>
      </c>
      <c r="D2">
        <v>104</v>
      </c>
      <c r="E2" s="6">
        <v>101.5</v>
      </c>
      <c r="F2" s="7">
        <v>30</v>
      </c>
      <c r="G2" s="7">
        <f>_xlfn.LET(
 _xlpm.ma, IF(B2&lt;A2,1,0),
 _xlpm.e_9, IF(C2&lt;A2,1,0),
 _xlpm.e_21,IF(D2&lt;A2,1,0),
 _xlpm.v, IF(E2&lt;A2,1,0),
 _xlpm.rsi_score, IF(F2&lt;=30,1, IF(F2&lt;=40,0.5, IF(F2&lt;60,0, IF(F2&lt;70,-0.5, -1)))),
 _xlpm.avgScore, ((_xlpm.ma + _xlpm.e_9 + _xlpm.e_21 + _xlpm.v + _xlpm.rsi_score) / 5),
 _xlpm.prob, ROUND((_xlpm.avgScore + 1) / 2 * 100, 0),
 _xlpm.prob
)</f>
        <v>60</v>
      </c>
      <c r="H2" t="str">
        <f>IF(G2&gt;=66,"Bullish", IF(G2&lt;=33,"Bearish","Neutral"))</f>
        <v>Neutral</v>
      </c>
      <c r="I2" s="7">
        <f>IF(H2="Bullish", ROUND(MIN(C2, E2, A2), 2),
 IF(H2="Bearish", ROUND(MAX(C2, E2, A2), 2),
 ROUND(A2,2)))</f>
        <v>100</v>
      </c>
      <c r="J2" s="7">
        <f>IF(H2="Bullish",
    ROUND(A2 * (1 + 0.02 + (G2/100) * 0.03 - IF(F2&gt;=70,0.01,0)), 2),
 IF(H2="Bearish",
    ROUND(A2 * (1 - (0.02 + ((100-G2)/100) * 0.03 + IF(F2&lt;=30,0.01,0))), 2),
 ROUND(A2 * 1.02, 2)))</f>
        <v>102</v>
      </c>
      <c r="K2">
        <f>IF(H2="Bullish",
    ROUND(I2 * (1 - (0.02 + IF(F2&gt;=60, 0.01, 0))), 2),
 IF(H2="Bearish",
    ROUND(I2 * (1 + (0.02 + IF(F2&lt;=40, 0.01, 0))), 2),
 ROUND(I2 * 0.99, 2)))</f>
        <v>99</v>
      </c>
    </row>
    <row r="3" spans="1:17" x14ac:dyDescent="0.25">
      <c r="A3" s="4">
        <v>100</v>
      </c>
      <c r="B3" s="5">
        <v>105</v>
      </c>
      <c r="C3">
        <v>102</v>
      </c>
      <c r="D3">
        <v>96</v>
      </c>
      <c r="E3" s="6">
        <v>100.5</v>
      </c>
      <c r="F3" s="7">
        <v>43.3</v>
      </c>
      <c r="G3" s="7">
        <f t="shared" ref="G3:G9" si="0">_xlfn.LET(
 _xlpm.ma, IF(B3&lt;A3,1,0),
 _xlpm.e_9, IF(C3&lt;A3,1,0),
 _xlpm.e_21,IF(D3&lt;A3,1,0),
 _xlpm.v, IF(E3&lt;A3,1,0),
 _xlpm.rsi_score, IF(F3&lt;=30,1, IF(F3&lt;=40,0.5, IF(F3&lt;60,0, IF(F3&lt;70,-0.5, -1)))),
 _xlpm.avgScore, ((_xlpm.ma + _xlpm.e_9 + _xlpm.e_21 + _xlpm.v + _xlpm.rsi_score) / 5),
 _xlpm.prob, ROUND((_xlpm.avgScore + 1) / 2 * 100, 0),
 _xlpm.prob
)</f>
        <v>60</v>
      </c>
      <c r="H3" s="7" t="str">
        <f t="shared" ref="H3:H9" si="1">IF(G3&gt;=66,"Bullish", IF(G3&lt;=33,"Bearish","Neutral"))</f>
        <v>Neutral</v>
      </c>
      <c r="I3" s="7">
        <f t="shared" ref="I3:I9" si="2">IF(H3="Bullish", ROUND(MIN(C3, E3, A3), 2),
 IF(H3="Bearish", ROUND(MAX(C3, E3, A3), 2),
 ROUND(A3,2)))</f>
        <v>100</v>
      </c>
      <c r="J3" s="7">
        <f t="shared" ref="J3:J9" si="3">IF(H3="Bullish",
    ROUND(A3 * (1 + 0.02 + (G3/100) * 0.03 - IF(F3&gt;=70,0.01,0)), 2),
 IF(H3="Bearish",
    ROUND(A3 * (1 - (0.02 + ((100-G3)/100) * 0.03 + IF(F3&lt;=30,0.01,0))), 2),
 ROUND(A3 * 1.02, 2)))</f>
        <v>102</v>
      </c>
      <c r="K3" s="7">
        <f t="shared" ref="K3:K9" si="4">IF(H3="Bullish",
    ROUND(I3 * (1 - (0.02 + IF(F3&gt;=60, 0.01, 0))), 2),
 IF(H3="Bearish",
    ROUND(I3 * (1 + (0.02 + IF(F3&lt;=40, 0.01, 0))), 2),
 ROUND(I3 * 0.99, 2)))</f>
        <v>99</v>
      </c>
      <c r="L3" s="7"/>
      <c r="M3" s="7"/>
    </row>
    <row r="4" spans="1:17" x14ac:dyDescent="0.25">
      <c r="A4" s="4">
        <v>100</v>
      </c>
      <c r="B4" s="5">
        <v>105</v>
      </c>
      <c r="C4">
        <v>98</v>
      </c>
      <c r="D4">
        <v>104</v>
      </c>
      <c r="E4" s="6">
        <v>100.5</v>
      </c>
      <c r="F4" s="7">
        <v>43.3</v>
      </c>
      <c r="G4" s="7">
        <f t="shared" si="0"/>
        <v>60</v>
      </c>
      <c r="H4" s="7" t="str">
        <f t="shared" si="1"/>
        <v>Neutral</v>
      </c>
      <c r="I4" s="7">
        <f t="shared" si="2"/>
        <v>100</v>
      </c>
      <c r="J4" s="7">
        <f t="shared" si="3"/>
        <v>102</v>
      </c>
      <c r="K4" s="7">
        <f t="shared" si="4"/>
        <v>99</v>
      </c>
      <c r="L4" s="7"/>
      <c r="M4" s="7"/>
    </row>
    <row r="5" spans="1:17" x14ac:dyDescent="0.25">
      <c r="A5" s="4">
        <v>100</v>
      </c>
      <c r="B5" s="5">
        <v>105</v>
      </c>
      <c r="C5">
        <v>98</v>
      </c>
      <c r="D5">
        <v>96</v>
      </c>
      <c r="E5" s="6">
        <v>99.5</v>
      </c>
      <c r="F5" s="7">
        <v>56.7</v>
      </c>
      <c r="G5" s="7">
        <f t="shared" si="0"/>
        <v>80</v>
      </c>
      <c r="H5" s="7" t="str">
        <f t="shared" si="1"/>
        <v>Bullish</v>
      </c>
      <c r="I5" s="7">
        <f t="shared" si="2"/>
        <v>98</v>
      </c>
      <c r="J5" s="7">
        <f t="shared" si="3"/>
        <v>104.4</v>
      </c>
      <c r="K5" s="7">
        <f t="shared" si="4"/>
        <v>96.04</v>
      </c>
      <c r="L5" s="7"/>
      <c r="M5" s="7"/>
    </row>
    <row r="6" spans="1:17" x14ac:dyDescent="0.25">
      <c r="A6" s="4">
        <v>100</v>
      </c>
      <c r="B6" s="5">
        <v>95</v>
      </c>
      <c r="C6">
        <v>102</v>
      </c>
      <c r="D6">
        <v>104</v>
      </c>
      <c r="E6" s="6">
        <v>110</v>
      </c>
      <c r="F6" s="7">
        <v>25</v>
      </c>
      <c r="G6" s="7">
        <f t="shared" si="0"/>
        <v>70</v>
      </c>
      <c r="H6" s="7" t="str">
        <f t="shared" si="1"/>
        <v>Bullish</v>
      </c>
      <c r="I6" s="7">
        <f t="shared" si="2"/>
        <v>100</v>
      </c>
      <c r="J6" s="7">
        <f t="shared" si="3"/>
        <v>104.1</v>
      </c>
      <c r="K6" s="7">
        <f t="shared" si="4"/>
        <v>98</v>
      </c>
      <c r="L6" s="7"/>
      <c r="M6" s="7"/>
    </row>
    <row r="7" spans="1:17" x14ac:dyDescent="0.25">
      <c r="A7" s="4">
        <v>100</v>
      </c>
      <c r="B7" s="5">
        <v>95</v>
      </c>
      <c r="C7">
        <v>102</v>
      </c>
      <c r="D7">
        <v>96</v>
      </c>
      <c r="E7" s="6">
        <v>99.5</v>
      </c>
      <c r="F7" s="7">
        <v>56.7</v>
      </c>
      <c r="G7" s="7">
        <f t="shared" si="0"/>
        <v>80</v>
      </c>
      <c r="H7" s="7" t="str">
        <f t="shared" si="1"/>
        <v>Bullish</v>
      </c>
      <c r="I7" s="7">
        <f t="shared" si="2"/>
        <v>99.5</v>
      </c>
      <c r="J7" s="7">
        <f t="shared" si="3"/>
        <v>104.4</v>
      </c>
      <c r="K7" s="7">
        <f t="shared" si="4"/>
        <v>97.51</v>
      </c>
      <c r="L7" s="7"/>
      <c r="M7" s="7"/>
      <c r="N7" s="1"/>
      <c r="O7" s="1"/>
      <c r="P7" s="1"/>
      <c r="Q7" s="1"/>
    </row>
    <row r="8" spans="1:17" x14ac:dyDescent="0.25">
      <c r="A8" s="4">
        <v>100</v>
      </c>
      <c r="B8" s="5">
        <v>95</v>
      </c>
      <c r="C8">
        <v>98</v>
      </c>
      <c r="D8">
        <v>104</v>
      </c>
      <c r="E8" s="6">
        <v>99.5</v>
      </c>
      <c r="F8" s="7">
        <v>56.7</v>
      </c>
      <c r="G8" s="7">
        <f t="shared" si="0"/>
        <v>80</v>
      </c>
      <c r="H8" s="7" t="str">
        <f t="shared" si="1"/>
        <v>Bullish</v>
      </c>
      <c r="I8" s="7">
        <f t="shared" si="2"/>
        <v>98</v>
      </c>
      <c r="J8" s="7">
        <f t="shared" si="3"/>
        <v>104.4</v>
      </c>
      <c r="K8" s="7">
        <f t="shared" si="4"/>
        <v>96.04</v>
      </c>
      <c r="L8" s="7"/>
      <c r="M8" s="7"/>
    </row>
    <row r="9" spans="1:17" x14ac:dyDescent="0.25">
      <c r="A9" s="4">
        <v>100</v>
      </c>
      <c r="B9" s="5">
        <v>95</v>
      </c>
      <c r="C9">
        <v>102</v>
      </c>
      <c r="D9">
        <v>109</v>
      </c>
      <c r="E9" s="6">
        <v>98.5</v>
      </c>
      <c r="F9" s="7">
        <v>60</v>
      </c>
      <c r="G9" s="7">
        <f t="shared" si="0"/>
        <v>65</v>
      </c>
      <c r="H9" s="7" t="str">
        <f t="shared" si="1"/>
        <v>Neutral</v>
      </c>
      <c r="I9" s="7">
        <f t="shared" si="2"/>
        <v>100</v>
      </c>
      <c r="J9" s="7">
        <f t="shared" si="3"/>
        <v>102</v>
      </c>
      <c r="K9" s="7">
        <f t="shared" si="4"/>
        <v>99</v>
      </c>
      <c r="L9" s="7"/>
      <c r="M9" s="7"/>
    </row>
    <row r="11" spans="1:17" x14ac:dyDescent="0.25">
      <c r="G1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SanjayKumar S. Gupta</dc:creator>
  <cp:lastModifiedBy>SanjayKumar S. Gupta</cp:lastModifiedBy>
  <dcterms:created xsi:type="dcterms:W3CDTF">2025-11-07T12:40:43Z</dcterms:created>
  <dcterms:modified xsi:type="dcterms:W3CDTF">2025-11-07T13:29:04Z</dcterms:modified>
</cp:coreProperties>
</file>